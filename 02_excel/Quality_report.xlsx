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rjects SQL + PBI\Olist_Retail_Analytics\02_excel\"/>
    </mc:Choice>
  </mc:AlternateContent>
  <xr:revisionPtr revIDLastSave="0" documentId="13_ncr:1_{42DFD5CB-62DC-4138-A73B-9862738B0D8D}" xr6:coauthVersionLast="47" xr6:coauthVersionMax="47" xr10:uidLastSave="{00000000-0000-0000-0000-000000000000}"/>
  <bookViews>
    <workbookView xWindow="-120" yWindow="-120" windowWidth="29040" windowHeight="15720" xr2:uid="{9310F3CC-22D7-47E0-8A94-83ADECCC208B}"/>
  </bookViews>
  <sheets>
    <sheet name="Sheet1" sheetId="1" r:id="rId1"/>
  </sheets>
  <externalReferences>
    <externalReference r:id="rId2"/>
  </externalReferenc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8" i="1" l="1"/>
  <c r="E28" i="1" s="1"/>
  <c r="C28" i="1"/>
  <c r="D27" i="1"/>
  <c r="C27" i="1"/>
  <c r="D26" i="1"/>
  <c r="E26" i="1" s="1"/>
  <c r="C26" i="1"/>
  <c r="D25" i="1"/>
  <c r="E25" i="1" s="1"/>
  <c r="C25" i="1"/>
  <c r="D24" i="1"/>
  <c r="E24" i="1" s="1"/>
  <c r="C24" i="1"/>
  <c r="C23" i="1"/>
  <c r="D22" i="1"/>
  <c r="E22" i="1" s="1"/>
  <c r="C22" i="1"/>
  <c r="D21" i="1"/>
  <c r="C21" i="1"/>
  <c r="D20" i="1"/>
  <c r="E20" i="1" s="1"/>
  <c r="C20" i="1"/>
  <c r="E19" i="1"/>
  <c r="D19" i="1"/>
  <c r="C19" i="1"/>
  <c r="D18" i="1"/>
  <c r="C18" i="1"/>
  <c r="D17" i="1"/>
  <c r="E17" i="1" s="1"/>
  <c r="C17" i="1"/>
  <c r="D16" i="1"/>
  <c r="C16" i="1"/>
  <c r="D15" i="1"/>
  <c r="E15" i="1" s="1"/>
  <c r="C15" i="1"/>
  <c r="D14" i="1"/>
  <c r="C14" i="1"/>
  <c r="D13" i="1"/>
  <c r="E13" i="1" s="1"/>
  <c r="C13" i="1"/>
  <c r="D12" i="1"/>
  <c r="E12" i="1" s="1"/>
  <c r="C12" i="1"/>
  <c r="D11" i="1"/>
  <c r="E11" i="1" s="1"/>
  <c r="C11" i="1"/>
  <c r="D10" i="1"/>
  <c r="E10" i="1" s="1"/>
  <c r="C10" i="1"/>
  <c r="D9" i="1"/>
  <c r="C9" i="1"/>
  <c r="D8" i="1"/>
  <c r="E8" i="1" s="1"/>
  <c r="C8" i="1"/>
  <c r="D7" i="1"/>
  <c r="C7" i="1"/>
  <c r="D6" i="1"/>
  <c r="E6" i="1" s="1"/>
  <c r="C6" i="1"/>
  <c r="D5" i="1"/>
  <c r="C5" i="1"/>
  <c r="D4" i="1"/>
  <c r="E4" i="1" s="1"/>
  <c r="C4" i="1"/>
  <c r="D3" i="1"/>
  <c r="C3" i="1"/>
  <c r="D2" i="1"/>
  <c r="C2" i="1"/>
  <c r="E3" i="1" l="1"/>
  <c r="E27" i="1"/>
  <c r="E16" i="1"/>
  <c r="E9" i="1"/>
  <c r="E23" i="1"/>
  <c r="E5" i="1"/>
  <c r="E2" i="1"/>
  <c r="E7" i="1"/>
  <c r="E14" i="1"/>
  <c r="E18" i="1"/>
  <c r="E21" i="1"/>
</calcChain>
</file>

<file path=xl/sharedStrings.xml><?xml version="1.0" encoding="utf-8"?>
<sst xmlns="http://schemas.openxmlformats.org/spreadsheetml/2006/main" count="115" uniqueCount="48">
  <si>
    <t>archivo</t>
  </si>
  <si>
    <t>columna</t>
  </si>
  <si>
    <t>total_filas</t>
  </si>
  <si>
    <t>nulos</t>
  </si>
  <si>
    <t>pct_nulos</t>
  </si>
  <si>
    <t>severidad</t>
  </si>
  <si>
    <t>decisión_limpieza</t>
  </si>
  <si>
    <t>Orders</t>
  </si>
  <si>
    <t>order_id</t>
  </si>
  <si>
    <t>customer_id</t>
  </si>
  <si>
    <t>order_status</t>
  </si>
  <si>
    <t>order_purchase_timestamp</t>
  </si>
  <si>
    <t>order_approved_at</t>
  </si>
  <si>
    <t>order_delivered_carrier_date</t>
  </si>
  <si>
    <t>order_delivered_customer_date</t>
  </si>
  <si>
    <t>order_estimated_delivery_date</t>
  </si>
  <si>
    <t>Order_Items</t>
  </si>
  <si>
    <t>order_item_id</t>
  </si>
  <si>
    <t>product_id</t>
  </si>
  <si>
    <t>seller_id</t>
  </si>
  <si>
    <t>shipping_limit_date</t>
  </si>
  <si>
    <t>price</t>
  </si>
  <si>
    <t>freight_value</t>
  </si>
  <si>
    <t>Payments</t>
  </si>
  <si>
    <t>payment_sequential</t>
  </si>
  <si>
    <t>payment_type</t>
  </si>
  <si>
    <t>payment_installments</t>
  </si>
  <si>
    <t>payment_value</t>
  </si>
  <si>
    <t>Reviews</t>
  </si>
  <si>
    <t>review_id</t>
  </si>
  <si>
    <t>review_score</t>
  </si>
  <si>
    <t>review_comment_title</t>
  </si>
  <si>
    <t>review_comment_message</t>
  </si>
  <si>
    <t>review_creation_date</t>
  </si>
  <si>
    <t>review_answer_timestamp</t>
  </si>
  <si>
    <t>Media</t>
  </si>
  <si>
    <t>Alta</t>
  </si>
  <si>
    <t>Baja</t>
  </si>
  <si>
    <t>Sin Problema</t>
  </si>
  <si>
    <t>0% nulos</t>
  </si>
  <si>
    <t>160 nulos (0.16%) — afecta análisis de tiempo de aprobación pero no el volumen principal. Mantener nulos — se originan en órdenes canceladas. En SQL: excluir de métricas de tiempo de aprobación con WHERE order_approved_at IS NOT NULL</t>
  </si>
  <si>
    <t>1,783 nulos (1.79%) — órdenes no entregadas al transportista, excluir del delivery analysis. Mantener nulos — en SQL: excluir solo del análisis de logistics lead time con WHERE order_status = 'delivered'</t>
  </si>
  <si>
    <t>2,965 nulos (2.98%) — columna crítica para el análisis de entrega prometida vs real, requiere tratamiento explícito en SQL. Crítico — En SQL: para el análisis de delivery vs promesa usar WHERE order_delivered_customer_date IS NOT NULL. Para RFM usar la fecha de compra, no la de entrega</t>
  </si>
  <si>
    <t>88.3% nulos es esperado y normal en e-commerce — no es un problema de calidad. No requiere acción — excluir del conteo de completitud, no es un campo obligatorio</t>
  </si>
  <si>
    <t>58.7% nulos — comportamiento normal, no afecta el análisis de review_score. No requiere acción — usaremos solo review_score para el análisis cuantitativo</t>
  </si>
  <si>
    <t>order_id es una llave primaria de valores unicos— Es seguro para usar JOIN en SQL</t>
  </si>
  <si>
    <t>Payments (103,886 filas) &gt; Orders (99,441 filas) porque algunas órdenes usan múltiples métodos de pago. Decisión SQL: agregar payment_value a nivel de order_id con SUM() antes de hacer JOIN con orders.</t>
  </si>
  <si>
    <t>Usar LEFT JOIN desde orders hacia reviews esto debido a que hay 217 ordenes sin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</si>
</sst>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0" fontId="0" fillId="0" borderId="0" xfId="1" applyNumberFormat="1" applyFont="1" applyAlignment="1">
      <alignment horizontal="center"/>
    </xf>
    <xf numFmtId="0" fontId="0" fillId="0" borderId="0" xfId="0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orjects%20SQL%20+%20PBI\Olist_Retail_Analytics\02_excel\olist_exploration.xlsx" TargetMode="External"/><Relationship Id="rId1" Type="http://schemas.openxmlformats.org/officeDocument/2006/relationships/externalLinkPath" Target="olist_explo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views"/>
      <sheetName val="payments"/>
      <sheetName val="order_items"/>
      <sheetName val="product_category"/>
      <sheetName val="seller"/>
      <sheetName val="products"/>
      <sheetName val="geolocation"/>
      <sheetName val="customers"/>
      <sheetName val="orders"/>
      <sheetName val="Data_Dictionary"/>
      <sheetName val="Pivot tables"/>
      <sheetName val="Quality_Repo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AE07E-2195-45BC-9FAB-DE581A174960}">
  <dimension ref="A1:G28"/>
  <sheetViews>
    <sheetView tabSelected="1" workbookViewId="0">
      <pane ySplit="1" topLeftCell="A15" activePane="bottomLeft" state="frozen"/>
      <selection pane="bottomLeft" activeCell="G25" sqref="G25"/>
    </sheetView>
  </sheetViews>
  <sheetFormatPr defaultRowHeight="15" x14ac:dyDescent="0.25"/>
  <cols>
    <col min="1" max="1" width="11.7109375" bestFit="1" customWidth="1"/>
    <col min="2" max="2" width="29" bestFit="1" customWidth="1"/>
    <col min="3" max="3" width="15.7109375" customWidth="1"/>
    <col min="4" max="4" width="10.5703125" customWidth="1"/>
    <col min="5" max="5" width="12.85546875" customWidth="1"/>
    <col min="6" max="6" width="14" customWidth="1"/>
    <col min="7" max="7" width="47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x14ac:dyDescent="0.25">
      <c r="A2" s="2" t="s">
        <v>7</v>
      </c>
      <c r="B2" s="2" t="s">
        <v>8</v>
      </c>
      <c r="C2" s="3">
        <f>COUNTA([1]!olist_orders_dataset[order_id])</f>
        <v>99441</v>
      </c>
      <c r="D2" s="3">
        <f>COUNTBLANK([1]!olist_orders_dataset[order_id])</f>
        <v>0</v>
      </c>
      <c r="E2" s="4">
        <f>D2/C2</f>
        <v>0</v>
      </c>
      <c r="F2" s="3" t="s">
        <v>38</v>
      </c>
      <c r="G2" s="5" t="s">
        <v>45</v>
      </c>
    </row>
    <row r="3" spans="1:7" x14ac:dyDescent="0.25">
      <c r="A3" s="2" t="s">
        <v>7</v>
      </c>
      <c r="B3" s="2" t="s">
        <v>9</v>
      </c>
      <c r="C3" s="3">
        <f>COUNTA([1]!olist_orders_dataset[order_id])</f>
        <v>99441</v>
      </c>
      <c r="D3" s="3">
        <f>COUNTBLANK([1]!olist_orders_dataset[customer_id])</f>
        <v>0</v>
      </c>
      <c r="E3" s="4">
        <f t="shared" ref="E3:E28" si="0">D3/C3</f>
        <v>0</v>
      </c>
      <c r="F3" s="3" t="s">
        <v>38</v>
      </c>
      <c r="G3" s="3" t="s">
        <v>39</v>
      </c>
    </row>
    <row r="4" spans="1:7" x14ac:dyDescent="0.25">
      <c r="A4" s="2" t="s">
        <v>7</v>
      </c>
      <c r="B4" s="2" t="s">
        <v>10</v>
      </c>
      <c r="C4" s="3">
        <f>COUNTA([1]!olist_orders_dataset[order_id])</f>
        <v>99441</v>
      </c>
      <c r="D4" s="3">
        <f>COUNT([1]!olist_orders_dataset[order_status])</f>
        <v>0</v>
      </c>
      <c r="E4" s="4">
        <f t="shared" si="0"/>
        <v>0</v>
      </c>
      <c r="F4" s="3" t="s">
        <v>38</v>
      </c>
      <c r="G4" s="3" t="s">
        <v>39</v>
      </c>
    </row>
    <row r="5" spans="1:7" x14ac:dyDescent="0.25">
      <c r="A5" s="2" t="s">
        <v>7</v>
      </c>
      <c r="B5" s="2" t="s">
        <v>11</v>
      </c>
      <c r="C5" s="3">
        <f>COUNTA([1]!olist_orders_dataset[order_id])</f>
        <v>99441</v>
      </c>
      <c r="D5" s="3">
        <f>COUNTBLANK([1]!olist_orders_dataset[order_purchase_timestamp])</f>
        <v>0</v>
      </c>
      <c r="E5" s="4">
        <f t="shared" si="0"/>
        <v>0</v>
      </c>
      <c r="F5" s="3" t="s">
        <v>38</v>
      </c>
      <c r="G5" s="3" t="s">
        <v>39</v>
      </c>
    </row>
    <row r="6" spans="1:7" ht="75" x14ac:dyDescent="0.25">
      <c r="A6" s="2" t="s">
        <v>7</v>
      </c>
      <c r="B6" s="2" t="s">
        <v>12</v>
      </c>
      <c r="C6" s="3">
        <f>COUNTA([1]!olist_orders_dataset[order_id])</f>
        <v>99441</v>
      </c>
      <c r="D6" s="3">
        <f>COUNTBLANK([1]!olist_orders_dataset[order_approved_at])</f>
        <v>160</v>
      </c>
      <c r="E6" s="4">
        <f t="shared" si="0"/>
        <v>1.6089942780140988E-3</v>
      </c>
      <c r="F6" s="3" t="s">
        <v>35</v>
      </c>
      <c r="G6" s="5" t="s">
        <v>40</v>
      </c>
    </row>
    <row r="7" spans="1:7" ht="75" x14ac:dyDescent="0.25">
      <c r="A7" s="2" t="s">
        <v>7</v>
      </c>
      <c r="B7" s="2" t="s">
        <v>13</v>
      </c>
      <c r="C7" s="3">
        <f>COUNTA([1]!olist_orders_dataset[order_id])</f>
        <v>99441</v>
      </c>
      <c r="D7" s="3">
        <f>COUNTBLANK([1]!olist_orders_dataset[order_delivered_carrier_date])</f>
        <v>1783</v>
      </c>
      <c r="E7" s="4">
        <f t="shared" si="0"/>
        <v>1.7930229985619613E-2</v>
      </c>
      <c r="F7" s="3" t="s">
        <v>35</v>
      </c>
      <c r="G7" s="5" t="s">
        <v>41</v>
      </c>
    </row>
    <row r="8" spans="1:7" ht="90" x14ac:dyDescent="0.25">
      <c r="A8" s="2" t="s">
        <v>7</v>
      </c>
      <c r="B8" s="2" t="s">
        <v>14</v>
      </c>
      <c r="C8" s="3">
        <f>COUNTA([1]!olist_orders_dataset[order_id])</f>
        <v>99441</v>
      </c>
      <c r="D8" s="3">
        <f>COUNTBLANK([1]!olist_orders_dataset[order_delivered_customer_date])</f>
        <v>2965</v>
      </c>
      <c r="E8" s="4">
        <f t="shared" si="0"/>
        <v>2.9816675214448769E-2</v>
      </c>
      <c r="F8" s="3" t="s">
        <v>36</v>
      </c>
      <c r="G8" s="5" t="s">
        <v>42</v>
      </c>
    </row>
    <row r="9" spans="1:7" x14ac:dyDescent="0.25">
      <c r="A9" s="2" t="s">
        <v>7</v>
      </c>
      <c r="B9" s="2" t="s">
        <v>15</v>
      </c>
      <c r="C9" s="3">
        <f>COUNTA([1]!olist_orders_dataset[order_id])</f>
        <v>99441</v>
      </c>
      <c r="D9" s="3">
        <f>COUNTBLANK([1]!olist_orders_dataset[order_estimated_delivery_date])</f>
        <v>0</v>
      </c>
      <c r="E9" s="4">
        <f t="shared" si="0"/>
        <v>0</v>
      </c>
      <c r="F9" s="3" t="s">
        <v>38</v>
      </c>
      <c r="G9" s="3" t="s">
        <v>39</v>
      </c>
    </row>
    <row r="10" spans="1:7" x14ac:dyDescent="0.25">
      <c r="A10" s="2" t="s">
        <v>16</v>
      </c>
      <c r="B10" s="2" t="s">
        <v>8</v>
      </c>
      <c r="C10" s="3">
        <f>COUNTA([1]!olist_order_items_dataset[order_id])</f>
        <v>112650</v>
      </c>
      <c r="D10" s="3">
        <f>COUNTBLANK([1]!olist_order_items_dataset[order_id])</f>
        <v>0</v>
      </c>
      <c r="E10" s="4">
        <f t="shared" si="0"/>
        <v>0</v>
      </c>
      <c r="F10" s="3" t="s">
        <v>38</v>
      </c>
      <c r="G10" s="3" t="s">
        <v>39</v>
      </c>
    </row>
    <row r="11" spans="1:7" x14ac:dyDescent="0.25">
      <c r="A11" s="2" t="s">
        <v>16</v>
      </c>
      <c r="B11" s="2" t="s">
        <v>17</v>
      </c>
      <c r="C11" s="3">
        <f>COUNTA([1]!olist_order_items_dataset[order_id])</f>
        <v>112650</v>
      </c>
      <c r="D11" s="3">
        <f>COUNTBLANK([1]!olist_order_items_dataset[order_id])</f>
        <v>0</v>
      </c>
      <c r="E11" s="4">
        <f t="shared" si="0"/>
        <v>0</v>
      </c>
      <c r="F11" s="3" t="s">
        <v>38</v>
      </c>
      <c r="G11" s="3" t="s">
        <v>39</v>
      </c>
    </row>
    <row r="12" spans="1:7" x14ac:dyDescent="0.25">
      <c r="A12" s="2" t="s">
        <v>16</v>
      </c>
      <c r="B12" s="2" t="s">
        <v>18</v>
      </c>
      <c r="C12" s="3">
        <f>COUNTA([1]!olist_order_items_dataset[order_id])</f>
        <v>112650</v>
      </c>
      <c r="D12" s="3">
        <f>COUNTBLANK([1]!olist_order_items_dataset[order_id])</f>
        <v>0</v>
      </c>
      <c r="E12" s="4">
        <f t="shared" si="0"/>
        <v>0</v>
      </c>
      <c r="F12" s="3" t="s">
        <v>38</v>
      </c>
      <c r="G12" s="3" t="s">
        <v>39</v>
      </c>
    </row>
    <row r="13" spans="1:7" x14ac:dyDescent="0.25">
      <c r="A13" s="2" t="s">
        <v>16</v>
      </c>
      <c r="B13" s="2" t="s">
        <v>19</v>
      </c>
      <c r="C13" s="3">
        <f>COUNTA([1]!olist_order_items_dataset[order_id])</f>
        <v>112650</v>
      </c>
      <c r="D13" s="3">
        <f>COUNTBLANK([1]!olist_order_items_dataset[order_id])</f>
        <v>0</v>
      </c>
      <c r="E13" s="4">
        <f t="shared" si="0"/>
        <v>0</v>
      </c>
      <c r="F13" s="3" t="s">
        <v>38</v>
      </c>
      <c r="G13" s="3" t="s">
        <v>39</v>
      </c>
    </row>
    <row r="14" spans="1:7" x14ac:dyDescent="0.25">
      <c r="A14" s="2" t="s">
        <v>16</v>
      </c>
      <c r="B14" s="2" t="s">
        <v>20</v>
      </c>
      <c r="C14" s="3">
        <f>COUNTA([1]!olist_order_items_dataset[order_id])</f>
        <v>112650</v>
      </c>
      <c r="D14" s="3">
        <f>COUNTBLANK([1]!olist_order_items_dataset[order_id])</f>
        <v>0</v>
      </c>
      <c r="E14" s="4">
        <f t="shared" si="0"/>
        <v>0</v>
      </c>
      <c r="F14" s="3" t="s">
        <v>38</v>
      </c>
      <c r="G14" s="3" t="s">
        <v>39</v>
      </c>
    </row>
    <row r="15" spans="1:7" x14ac:dyDescent="0.25">
      <c r="A15" s="2" t="s">
        <v>16</v>
      </c>
      <c r="B15" s="2" t="s">
        <v>21</v>
      </c>
      <c r="C15" s="3">
        <f>COUNTA([1]!olist_order_items_dataset[order_id])</f>
        <v>112650</v>
      </c>
      <c r="D15" s="3">
        <f>COUNTBLANK([1]!olist_order_items_dataset[order_id])</f>
        <v>0</v>
      </c>
      <c r="E15" s="4">
        <f t="shared" si="0"/>
        <v>0</v>
      </c>
      <c r="F15" s="3" t="s">
        <v>38</v>
      </c>
      <c r="G15" s="3" t="s">
        <v>39</v>
      </c>
    </row>
    <row r="16" spans="1:7" x14ac:dyDescent="0.25">
      <c r="A16" s="2" t="s">
        <v>16</v>
      </c>
      <c r="B16" s="2" t="s">
        <v>22</v>
      </c>
      <c r="C16" s="3">
        <f>COUNTA([1]!olist_order_items_dataset[order_id])</f>
        <v>112650</v>
      </c>
      <c r="D16" s="3">
        <f>COUNTBLANK([1]!olist_order_items_dataset[order_id])</f>
        <v>0</v>
      </c>
      <c r="E16" s="4">
        <f t="shared" si="0"/>
        <v>0</v>
      </c>
      <c r="F16" s="3" t="s">
        <v>38</v>
      </c>
      <c r="G16" s="3" t="s">
        <v>39</v>
      </c>
    </row>
    <row r="17" spans="1:7" x14ac:dyDescent="0.25">
      <c r="A17" s="2" t="s">
        <v>23</v>
      </c>
      <c r="B17" s="2" t="s">
        <v>8</v>
      </c>
      <c r="C17" s="3">
        <f>COUNTA([1]!olist_order_payments_dataset[order_id])</f>
        <v>103886</v>
      </c>
      <c r="D17" s="3">
        <f>COUNTBLANK([1]!olist_order_payments_dataset[order_id])</f>
        <v>0</v>
      </c>
      <c r="E17" s="4">
        <f t="shared" si="0"/>
        <v>0</v>
      </c>
      <c r="F17" s="3" t="s">
        <v>38</v>
      </c>
      <c r="G17" s="3" t="s">
        <v>39</v>
      </c>
    </row>
    <row r="18" spans="1:7" x14ac:dyDescent="0.25">
      <c r="A18" s="2" t="s">
        <v>23</v>
      </c>
      <c r="B18" s="2" t="s">
        <v>24</v>
      </c>
      <c r="C18" s="3">
        <f>COUNTA([1]!olist_order_payments_dataset[order_id])</f>
        <v>103886</v>
      </c>
      <c r="D18" s="3">
        <f>COUNTBLANK([1]!olist_order_payments_dataset[payment_sequential])</f>
        <v>0</v>
      </c>
      <c r="E18" s="4">
        <f t="shared" si="0"/>
        <v>0</v>
      </c>
      <c r="F18" s="3" t="s">
        <v>38</v>
      </c>
      <c r="G18" s="3" t="s">
        <v>39</v>
      </c>
    </row>
    <row r="19" spans="1:7" x14ac:dyDescent="0.25">
      <c r="A19" s="2" t="s">
        <v>23</v>
      </c>
      <c r="B19" s="2" t="s">
        <v>25</v>
      </c>
      <c r="C19" s="3">
        <f>COUNTA([1]!olist_order_payments_dataset[order_id])</f>
        <v>103886</v>
      </c>
      <c r="D19" s="3">
        <f>COUNTBLANK([1]!olist_order_payments_dataset[payment_type])</f>
        <v>0</v>
      </c>
      <c r="E19" s="4">
        <f t="shared" si="0"/>
        <v>0</v>
      </c>
      <c r="F19" s="3" t="s">
        <v>38</v>
      </c>
      <c r="G19" s="3" t="s">
        <v>39</v>
      </c>
    </row>
    <row r="20" spans="1:7" x14ac:dyDescent="0.25">
      <c r="A20" s="2" t="s">
        <v>23</v>
      </c>
      <c r="B20" s="2" t="s">
        <v>26</v>
      </c>
      <c r="C20" s="3">
        <f>COUNTA([1]!olist_order_payments_dataset[order_id])</f>
        <v>103886</v>
      </c>
      <c r="D20" s="3">
        <f>COUNTBLANK([1]!olist_order_payments_dataset[payment_installments])</f>
        <v>0</v>
      </c>
      <c r="E20" s="4">
        <f t="shared" si="0"/>
        <v>0</v>
      </c>
      <c r="F20" s="3" t="s">
        <v>38</v>
      </c>
      <c r="G20" s="3" t="s">
        <v>39</v>
      </c>
    </row>
    <row r="21" spans="1:7" ht="75" x14ac:dyDescent="0.25">
      <c r="A21" s="2" t="s">
        <v>23</v>
      </c>
      <c r="B21" s="2" t="s">
        <v>27</v>
      </c>
      <c r="C21" s="3">
        <f>COUNTA([1]!olist_order_payments_dataset[order_id])</f>
        <v>103886</v>
      </c>
      <c r="D21" s="3">
        <f>COUNTBLANK([1]!olist_order_payments_dataset[payment_value])</f>
        <v>0</v>
      </c>
      <c r="E21" s="4">
        <f t="shared" si="0"/>
        <v>0</v>
      </c>
      <c r="F21" s="3" t="s">
        <v>35</v>
      </c>
      <c r="G21" s="5" t="s">
        <v>46</v>
      </c>
    </row>
    <row r="22" spans="1:7" x14ac:dyDescent="0.25">
      <c r="A22" s="2" t="s">
        <v>28</v>
      </c>
      <c r="B22" s="2" t="s">
        <v>29</v>
      </c>
      <c r="C22" s="3">
        <f>COUNTA([1]!olist_order_reviews_dataset[order_id])</f>
        <v>99224</v>
      </c>
      <c r="D22" s="3">
        <f>COUNTBLANK([1]!olist_order_reviews_dataset[review_id])</f>
        <v>0</v>
      </c>
      <c r="E22" s="4">
        <f t="shared" si="0"/>
        <v>0</v>
      </c>
      <c r="F22" s="3" t="s">
        <v>38</v>
      </c>
      <c r="G22" s="3" t="s">
        <v>39</v>
      </c>
    </row>
    <row r="23" spans="1:7" ht="30" x14ac:dyDescent="0.25">
      <c r="A23" s="2" t="s">
        <v>28</v>
      </c>
      <c r="B23" s="2" t="s">
        <v>8</v>
      </c>
      <c r="C23" s="3">
        <f>COUNTA([1]!olist_order_reviews_dataset[order_id])</f>
        <v>99224</v>
      </c>
      <c r="D23" s="3">
        <v>217</v>
      </c>
      <c r="E23" s="4">
        <f t="shared" si="0"/>
        <v>2.1869708941385149E-3</v>
      </c>
      <c r="F23" s="3" t="s">
        <v>37</v>
      </c>
      <c r="G23" s="5" t="s">
        <v>47</v>
      </c>
    </row>
    <row r="24" spans="1:7" x14ac:dyDescent="0.25">
      <c r="A24" s="2" t="s">
        <v>28</v>
      </c>
      <c r="B24" s="2" t="s">
        <v>30</v>
      </c>
      <c r="C24" s="3">
        <f>COUNTA([1]!olist_order_reviews_dataset[order_id])</f>
        <v>99224</v>
      </c>
      <c r="D24" s="3">
        <f>COUNTBLANK([1]!olist_order_reviews_dataset[review_score])</f>
        <v>0</v>
      </c>
      <c r="E24" s="4">
        <f t="shared" si="0"/>
        <v>0</v>
      </c>
      <c r="F24" s="3" t="s">
        <v>38</v>
      </c>
      <c r="G24" s="3" t="s">
        <v>39</v>
      </c>
    </row>
    <row r="25" spans="1:7" ht="60" x14ac:dyDescent="0.25">
      <c r="A25" s="2" t="s">
        <v>28</v>
      </c>
      <c r="B25" s="2" t="s">
        <v>31</v>
      </c>
      <c r="C25" s="3">
        <f>COUNTA([1]!olist_order_reviews_dataset[order_id])</f>
        <v>99224</v>
      </c>
      <c r="D25" s="3">
        <f>COUNTBLANK([1]!olist_order_reviews_dataset[review_comment_title])</f>
        <v>87656</v>
      </c>
      <c r="E25" s="4">
        <f t="shared" si="0"/>
        <v>0.88341530274933489</v>
      </c>
      <c r="F25" s="3" t="s">
        <v>37</v>
      </c>
      <c r="G25" s="5" t="s">
        <v>43</v>
      </c>
    </row>
    <row r="26" spans="1:7" ht="60" x14ac:dyDescent="0.25">
      <c r="A26" s="2" t="s">
        <v>28</v>
      </c>
      <c r="B26" s="2" t="s">
        <v>32</v>
      </c>
      <c r="C26" s="3">
        <f>COUNTA([1]!olist_order_reviews_dataset[order_id])</f>
        <v>99224</v>
      </c>
      <c r="D26" s="3">
        <f>COUNTBLANK([1]!olist_order_reviews_dataset[review_comment_message])</f>
        <v>58247</v>
      </c>
      <c r="E26" s="4">
        <f t="shared" si="0"/>
        <v>0.58702531645569622</v>
      </c>
      <c r="F26" s="3" t="s">
        <v>37</v>
      </c>
      <c r="G26" s="5" t="s">
        <v>44</v>
      </c>
    </row>
    <row r="27" spans="1:7" x14ac:dyDescent="0.25">
      <c r="A27" s="2" t="s">
        <v>28</v>
      </c>
      <c r="B27" s="2" t="s">
        <v>33</v>
      </c>
      <c r="C27" s="3">
        <f>COUNTA([1]!olist_order_reviews_dataset[order_id])</f>
        <v>99224</v>
      </c>
      <c r="D27" s="3">
        <f>COUNTBLANK([1]!olist_order_reviews_dataset[review_creation_date])</f>
        <v>0</v>
      </c>
      <c r="E27" s="4">
        <f t="shared" si="0"/>
        <v>0</v>
      </c>
      <c r="F27" s="3" t="s">
        <v>38</v>
      </c>
      <c r="G27" s="3" t="s">
        <v>39</v>
      </c>
    </row>
    <row r="28" spans="1:7" x14ac:dyDescent="0.25">
      <c r="A28" s="2" t="s">
        <v>28</v>
      </c>
      <c r="B28" s="2" t="s">
        <v>34</v>
      </c>
      <c r="C28" s="3">
        <f>COUNTA([1]!olist_order_reviews_dataset[order_id])</f>
        <v>99224</v>
      </c>
      <c r="D28" s="3">
        <f>COUNTBLANK([1]!olist_order_reviews_dataset[review_answer_timestamp])</f>
        <v>0</v>
      </c>
      <c r="E28" s="4">
        <f t="shared" si="0"/>
        <v>0</v>
      </c>
      <c r="F28" s="3" t="s">
        <v>38</v>
      </c>
      <c r="G28" s="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Jerez</dc:creator>
  <cp:lastModifiedBy>Julian Jerez</cp:lastModifiedBy>
  <dcterms:created xsi:type="dcterms:W3CDTF">2026-06-22T17:38:20Z</dcterms:created>
  <dcterms:modified xsi:type="dcterms:W3CDTF">2026-06-23T16:58:42Z</dcterms:modified>
</cp:coreProperties>
</file>